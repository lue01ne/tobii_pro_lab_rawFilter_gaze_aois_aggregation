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LinkAI - nystart - 2026\Agentic AI platform\Hockey\integration\TPL metrics\input_metrics_data\"/>
    </mc:Choice>
  </mc:AlternateContent>
  <xr:revisionPtr revIDLastSave="0" documentId="13_ncr:1_{2A62F224-21DE-4552-89D7-EDB3BB0431C6}" xr6:coauthVersionLast="47" xr6:coauthVersionMax="47" xr10:uidLastSave="{00000000-0000-0000-0000-000000000000}"/>
  <bookViews>
    <workbookView xWindow="28680" yWindow="-120" windowWidth="29040" windowHeight="15720" xr2:uid="{D1ECFDEB-00C6-4A84-8BE5-4DE4B8253800}"/>
  </bookViews>
  <sheets>
    <sheet name="TPL_rawFilter_metrics" sheetId="2" r:id="rId1"/>
  </sheets>
  <definedNames>
    <definedName name="ExternalData_1" localSheetId="0" hidden="1">TPL_rawFilter_metrics!$A$1:$L$65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N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900D78-6FC8-4D2F-A40D-455B44DB197F}" keepAlive="1" name="Query - TheProblemChild Metrics" description="Connection to the 'TheProblemChild Metrics' query in the workbook." type="5" refreshedVersion="8" background="1" saveData="1">
    <dbPr connection="Provider=Microsoft.Mashup.OleDb.1;Data Source=$Workbook$;Location=&quot;TheProblemChild Metrics&quot;;Extended Properties=&quot;&quot;" command="SELECT * FROM [TheProblemChild Metrics]"/>
  </connection>
</connections>
</file>

<file path=xl/sharedStrings.xml><?xml version="1.0" encoding="utf-8"?>
<sst xmlns="http://schemas.openxmlformats.org/spreadsheetml/2006/main" count="463" uniqueCount="27">
  <si>
    <t>Recording</t>
  </si>
  <si>
    <t>Participant</t>
  </si>
  <si>
    <t>Position</t>
  </si>
  <si>
    <t>TOI</t>
  </si>
  <si>
    <t>Interval</t>
  </si>
  <si>
    <t>Event_type</t>
  </si>
  <si>
    <t>Validity</t>
  </si>
  <si>
    <t>EventIndex</t>
  </si>
  <si>
    <t>Start</t>
  </si>
  <si>
    <t>Stop</t>
  </si>
  <si>
    <t>Duration</t>
  </si>
  <si>
    <t>AOI</t>
  </si>
  <si>
    <t>Recording 9</t>
  </si>
  <si>
    <t>lukshair</t>
  </si>
  <si>
    <t>D</t>
  </si>
  <si>
    <t>SA_Scans</t>
  </si>
  <si>
    <t>Fixation</t>
  </si>
  <si>
    <t>Partial</t>
  </si>
  <si>
    <t>Puck</t>
  </si>
  <si>
    <t>SpaceIce</t>
  </si>
  <si>
    <t>OponentNoPuck</t>
  </si>
  <si>
    <t>TeammateWithPuckBody</t>
  </si>
  <si>
    <t>TeammateNoPuck</t>
  </si>
  <si>
    <t>TeammateWithPuckStickArea</t>
  </si>
  <si>
    <t>Tot dur fix SpaceIce</t>
  </si>
  <si>
    <t>Fixation order nr</t>
  </si>
  <si>
    <t>Tot dur fix Puck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</si>
</sst>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C78805-95AD-4C9D-B0A6-195D963715AE}" autoFormatId="16" applyNumberFormats="0" applyBorderFormats="0" applyFontFormats="0" applyPatternFormats="0" applyAlignmentFormats="0" applyWidthHeightFormats="0">
  <queryTableRefresh nextId="13">
    <queryTableFields count="12">
      <queryTableField id="1" name="Recording" tableColumnId="1"/>
      <queryTableField id="2" name="Participant" tableColumnId="2"/>
      <queryTableField id="3" name="Position" tableColumnId="3"/>
      <queryTableField id="4" name="TOI" tableColumnId="4"/>
      <queryTableField id="5" name="Interval" tableColumnId="5"/>
      <queryTableField id="6" name="Event_type" tableColumnId="6"/>
      <queryTableField id="7" name="Validity" tableColumnId="7"/>
      <queryTableField id="8" name="EventIndex" tableColumnId="8"/>
      <queryTableField id="9" name="Start" tableColumnId="9"/>
      <queryTableField id="10" name="Stop" tableColumnId="10"/>
      <queryTableField id="11" name="Duration" tableColumnId="11"/>
      <queryTableField id="12" name="AOI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95787-9946-41EA-B586-2B6DB5A38BB9}" name="TheProblemChild_Metrics" displayName="TheProblemChild_Metrics" ref="A1:L65" tableType="queryTable" totalsRowShown="0">
  <autoFilter ref="A1:L65" xr:uid="{D3795787-9946-41EA-B586-2B6DB5A38BB9}"/>
  <tableColumns count="12">
    <tableColumn id="1" xr3:uid="{E43A050F-114B-42D3-95DE-9A6996A622C5}" uniqueName="1" name="Recording" queryTableFieldId="1" dataDxfId="6"/>
    <tableColumn id="2" xr3:uid="{39E81D6F-BC21-4AFA-9992-B51A9FF11B37}" uniqueName="2" name="Participant" queryTableFieldId="2" dataDxfId="5"/>
    <tableColumn id="3" xr3:uid="{EB2EB45C-9F87-47D4-AB81-F8BC2D90A182}" uniqueName="3" name="Position" queryTableFieldId="3" dataDxfId="4"/>
    <tableColumn id="4" xr3:uid="{A3A9E217-23CB-4F19-B9BC-C2D9F6D7F257}" uniqueName="4" name="TOI" queryTableFieldId="4" dataDxfId="3"/>
    <tableColumn id="5" xr3:uid="{AE40F37D-9CC7-49FC-9520-190DD35FD9F2}" uniqueName="5" name="Interval" queryTableFieldId="5"/>
    <tableColumn id="6" xr3:uid="{E2BE6926-CF3B-40F4-B2E1-FC0F2D5414F8}" uniqueName="6" name="Event_type" queryTableFieldId="6" dataDxfId="2"/>
    <tableColumn id="7" xr3:uid="{5BFBDF32-5F3B-4A48-BEF8-8800CB091DE1}" uniqueName="7" name="Validity" queryTableFieldId="7" dataDxfId="1"/>
    <tableColumn id="8" xr3:uid="{7E7914FA-BAAE-41AB-8F72-2FAAD38B8C85}" uniqueName="8" name="EventIndex" queryTableFieldId="8"/>
    <tableColumn id="9" xr3:uid="{FE307504-6BC1-4681-8C62-E7B9046DCF08}" uniqueName="9" name="Start" queryTableFieldId="9"/>
    <tableColumn id="10" xr3:uid="{10C270B7-C49F-4BFD-845F-1E7C32D85C20}" uniqueName="10" name="Stop" queryTableFieldId="10"/>
    <tableColumn id="11" xr3:uid="{8113CDCE-6408-4D75-B3DA-9C9E16E4F57C}" uniqueName="11" name="Duration" queryTableFieldId="11"/>
    <tableColumn id="12" xr3:uid="{90126E07-7654-4AC5-837A-0FCE04A9B158}" uniqueName="12" name="AOI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5C89-07B9-40B4-A148-60EBFC8D0F90}">
  <dimension ref="A1:P65"/>
  <sheetViews>
    <sheetView tabSelected="1" topLeftCell="A22" workbookViewId="0">
      <selection activeCell="I14" sqref="I14"/>
    </sheetView>
  </sheetViews>
  <sheetFormatPr defaultRowHeight="14.5" x14ac:dyDescent="0.35"/>
  <cols>
    <col min="1" max="1" width="12.453125" bestFit="1" customWidth="1"/>
    <col min="2" max="2" width="13" bestFit="1" customWidth="1"/>
    <col min="3" max="3" width="10.7265625" bestFit="1" customWidth="1"/>
    <col min="4" max="4" width="9.26953125" bestFit="1" customWidth="1"/>
    <col min="5" max="5" width="10.1796875" bestFit="1" customWidth="1"/>
    <col min="6" max="6" width="13.26953125" bestFit="1" customWidth="1"/>
    <col min="7" max="7" width="10" bestFit="1" customWidth="1"/>
    <col min="8" max="8" width="13.453125" bestFit="1" customWidth="1"/>
    <col min="9" max="9" width="16" customWidth="1"/>
    <col min="10" max="10" width="7.453125" bestFit="1" customWidth="1"/>
    <col min="11" max="11" width="11.1796875" bestFit="1" customWidth="1"/>
    <col min="12" max="12" width="27.26953125" bestFit="1" customWidth="1"/>
    <col min="13" max="13" width="18.1796875" bestFit="1" customWidth="1"/>
    <col min="14" max="14" width="18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24</v>
      </c>
      <c r="N1" t="s">
        <v>26</v>
      </c>
      <c r="P1" t="s">
        <v>25</v>
      </c>
    </row>
    <row r="2" spans="1:16" x14ac:dyDescent="0.35">
      <c r="A2" t="s">
        <v>12</v>
      </c>
      <c r="B2" t="s">
        <v>13</v>
      </c>
      <c r="C2" t="s">
        <v>14</v>
      </c>
      <c r="D2" t="s">
        <v>15</v>
      </c>
      <c r="E2">
        <v>1</v>
      </c>
      <c r="F2" t="s">
        <v>16</v>
      </c>
      <c r="G2" t="s">
        <v>17</v>
      </c>
      <c r="H2">
        <v>1</v>
      </c>
      <c r="I2">
        <v>0</v>
      </c>
      <c r="J2">
        <v>20</v>
      </c>
      <c r="K2">
        <v>20</v>
      </c>
      <c r="L2" t="s">
        <v>18</v>
      </c>
      <c r="M2">
        <f>COUNTIF(TheProblemChild_Metrics[AOI], "SpaceIce")*20</f>
        <v>380</v>
      </c>
      <c r="N2">
        <f>COUNTIF(TheProblemChild_Metrics[AOI], "Puck")*20</f>
        <v>160</v>
      </c>
      <c r="P2">
        <v>1</v>
      </c>
    </row>
    <row r="3" spans="1:16" x14ac:dyDescent="0.35">
      <c r="A3" t="s">
        <v>12</v>
      </c>
      <c r="B3" t="s">
        <v>13</v>
      </c>
      <c r="C3" t="s">
        <v>14</v>
      </c>
      <c r="D3" t="s">
        <v>15</v>
      </c>
      <c r="E3">
        <v>1</v>
      </c>
      <c r="F3" t="s">
        <v>16</v>
      </c>
      <c r="G3" t="s">
        <v>17</v>
      </c>
      <c r="H3">
        <v>2</v>
      </c>
      <c r="I3">
        <v>240</v>
      </c>
      <c r="J3">
        <v>260</v>
      </c>
      <c r="K3">
        <v>20</v>
      </c>
      <c r="L3" t="s">
        <v>19</v>
      </c>
      <c r="P3">
        <v>2</v>
      </c>
    </row>
    <row r="4" spans="1:16" x14ac:dyDescent="0.35">
      <c r="A4" t="s">
        <v>12</v>
      </c>
      <c r="B4" t="s">
        <v>13</v>
      </c>
      <c r="C4" t="s">
        <v>14</v>
      </c>
      <c r="D4" t="s">
        <v>15</v>
      </c>
      <c r="E4">
        <v>1</v>
      </c>
      <c r="F4" t="s">
        <v>16</v>
      </c>
      <c r="G4" t="s">
        <v>17</v>
      </c>
      <c r="H4">
        <v>3</v>
      </c>
      <c r="I4">
        <v>481</v>
      </c>
      <c r="J4">
        <v>501</v>
      </c>
      <c r="K4">
        <v>20</v>
      </c>
      <c r="L4" t="s">
        <v>19</v>
      </c>
      <c r="P4">
        <v>3</v>
      </c>
    </row>
    <row r="5" spans="1:16" x14ac:dyDescent="0.35">
      <c r="A5" t="s">
        <v>12</v>
      </c>
      <c r="B5" t="s">
        <v>13</v>
      </c>
      <c r="C5" t="s">
        <v>14</v>
      </c>
      <c r="D5" t="s">
        <v>15</v>
      </c>
      <c r="E5">
        <v>1</v>
      </c>
      <c r="F5" t="s">
        <v>16</v>
      </c>
      <c r="G5" t="s">
        <v>17</v>
      </c>
      <c r="H5">
        <v>4</v>
      </c>
      <c r="I5">
        <v>501</v>
      </c>
      <c r="J5">
        <v>521</v>
      </c>
      <c r="K5">
        <v>20</v>
      </c>
      <c r="L5" t="s">
        <v>19</v>
      </c>
      <c r="P5">
        <v>3</v>
      </c>
    </row>
    <row r="6" spans="1:16" x14ac:dyDescent="0.35">
      <c r="A6" t="s">
        <v>12</v>
      </c>
      <c r="B6" t="s">
        <v>13</v>
      </c>
      <c r="C6" t="s">
        <v>14</v>
      </c>
      <c r="D6" t="s">
        <v>15</v>
      </c>
      <c r="E6">
        <v>1</v>
      </c>
      <c r="F6" t="s">
        <v>16</v>
      </c>
      <c r="G6" t="s">
        <v>17</v>
      </c>
      <c r="H6">
        <v>5</v>
      </c>
      <c r="I6">
        <v>521</v>
      </c>
      <c r="J6">
        <v>541</v>
      </c>
      <c r="K6">
        <v>20</v>
      </c>
      <c r="L6" t="s">
        <v>19</v>
      </c>
      <c r="P6">
        <v>3</v>
      </c>
    </row>
    <row r="7" spans="1:16" x14ac:dyDescent="0.35">
      <c r="A7" t="s">
        <v>12</v>
      </c>
      <c r="B7" t="s">
        <v>13</v>
      </c>
      <c r="C7" t="s">
        <v>14</v>
      </c>
      <c r="D7" t="s">
        <v>15</v>
      </c>
      <c r="E7">
        <v>1</v>
      </c>
      <c r="F7" t="s">
        <v>16</v>
      </c>
      <c r="G7" t="s">
        <v>17</v>
      </c>
      <c r="H7">
        <v>6</v>
      </c>
      <c r="I7">
        <v>541</v>
      </c>
      <c r="J7">
        <v>561</v>
      </c>
      <c r="K7">
        <v>20</v>
      </c>
      <c r="L7" t="s">
        <v>19</v>
      </c>
      <c r="P7">
        <v>3</v>
      </c>
    </row>
    <row r="8" spans="1:16" x14ac:dyDescent="0.35">
      <c r="A8" t="s">
        <v>12</v>
      </c>
      <c r="B8" t="s">
        <v>13</v>
      </c>
      <c r="C8" t="s">
        <v>14</v>
      </c>
      <c r="D8" t="s">
        <v>15</v>
      </c>
      <c r="E8">
        <v>1</v>
      </c>
      <c r="F8" t="s">
        <v>16</v>
      </c>
      <c r="G8" t="s">
        <v>17</v>
      </c>
      <c r="H8">
        <v>7</v>
      </c>
      <c r="I8">
        <v>561</v>
      </c>
      <c r="J8">
        <v>581</v>
      </c>
      <c r="K8">
        <v>20</v>
      </c>
      <c r="L8" t="s">
        <v>19</v>
      </c>
      <c r="P8">
        <v>3</v>
      </c>
    </row>
    <row r="9" spans="1:16" x14ac:dyDescent="0.35">
      <c r="A9" t="s">
        <v>12</v>
      </c>
      <c r="B9" t="s">
        <v>13</v>
      </c>
      <c r="C9" t="s">
        <v>14</v>
      </c>
      <c r="D9" t="s">
        <v>15</v>
      </c>
      <c r="E9">
        <v>1</v>
      </c>
      <c r="F9" t="s">
        <v>16</v>
      </c>
      <c r="G9" t="s">
        <v>17</v>
      </c>
      <c r="H9">
        <v>8</v>
      </c>
      <c r="I9">
        <v>581</v>
      </c>
      <c r="J9">
        <v>601</v>
      </c>
      <c r="K9">
        <v>20</v>
      </c>
      <c r="L9" t="s">
        <v>19</v>
      </c>
      <c r="P9">
        <v>3</v>
      </c>
    </row>
    <row r="10" spans="1:16" x14ac:dyDescent="0.35">
      <c r="A10" t="s">
        <v>12</v>
      </c>
      <c r="B10" t="s">
        <v>13</v>
      </c>
      <c r="C10" t="s">
        <v>14</v>
      </c>
      <c r="D10" t="s">
        <v>15</v>
      </c>
      <c r="E10">
        <v>1</v>
      </c>
      <c r="F10" t="s">
        <v>16</v>
      </c>
      <c r="G10" t="s">
        <v>17</v>
      </c>
      <c r="H10">
        <v>9</v>
      </c>
      <c r="I10">
        <v>601</v>
      </c>
      <c r="J10">
        <v>621</v>
      </c>
      <c r="K10">
        <v>20</v>
      </c>
      <c r="L10" t="s">
        <v>19</v>
      </c>
      <c r="P10">
        <v>3</v>
      </c>
    </row>
    <row r="11" spans="1:16" x14ac:dyDescent="0.35">
      <c r="A11" t="s">
        <v>12</v>
      </c>
      <c r="B11" t="s">
        <v>13</v>
      </c>
      <c r="C11" t="s">
        <v>14</v>
      </c>
      <c r="D11" t="s">
        <v>15</v>
      </c>
      <c r="E11">
        <v>1</v>
      </c>
      <c r="F11" t="s">
        <v>16</v>
      </c>
      <c r="G11" t="s">
        <v>17</v>
      </c>
      <c r="H11">
        <v>10</v>
      </c>
      <c r="I11">
        <v>621</v>
      </c>
      <c r="J11">
        <v>641</v>
      </c>
      <c r="K11">
        <v>20</v>
      </c>
      <c r="L11" t="s">
        <v>19</v>
      </c>
      <c r="P11">
        <v>3</v>
      </c>
    </row>
    <row r="12" spans="1:16" x14ac:dyDescent="0.35">
      <c r="A12" t="s">
        <v>12</v>
      </c>
      <c r="B12" t="s">
        <v>13</v>
      </c>
      <c r="C12" t="s">
        <v>14</v>
      </c>
      <c r="D12" t="s">
        <v>15</v>
      </c>
      <c r="E12">
        <v>1</v>
      </c>
      <c r="F12" t="s">
        <v>16</v>
      </c>
      <c r="G12" t="s">
        <v>17</v>
      </c>
      <c r="H12">
        <v>11</v>
      </c>
      <c r="I12">
        <v>681</v>
      </c>
      <c r="J12">
        <v>701</v>
      </c>
      <c r="K12">
        <v>20</v>
      </c>
      <c r="L12" t="s">
        <v>19</v>
      </c>
      <c r="P12">
        <v>4</v>
      </c>
    </row>
    <row r="13" spans="1:16" x14ac:dyDescent="0.35">
      <c r="A13" t="s">
        <v>12</v>
      </c>
      <c r="B13" t="s">
        <v>13</v>
      </c>
      <c r="C13" t="s">
        <v>14</v>
      </c>
      <c r="D13" t="s">
        <v>15</v>
      </c>
      <c r="E13">
        <v>1</v>
      </c>
      <c r="F13" t="s">
        <v>16</v>
      </c>
      <c r="G13" t="s">
        <v>17</v>
      </c>
      <c r="H13">
        <v>12</v>
      </c>
      <c r="I13">
        <v>741</v>
      </c>
      <c r="J13">
        <v>761</v>
      </c>
      <c r="K13">
        <v>20</v>
      </c>
      <c r="L13" t="s">
        <v>19</v>
      </c>
      <c r="P13">
        <v>5</v>
      </c>
    </row>
    <row r="14" spans="1:16" x14ac:dyDescent="0.35">
      <c r="A14" t="s">
        <v>12</v>
      </c>
      <c r="B14" t="s">
        <v>13</v>
      </c>
      <c r="C14" t="s">
        <v>14</v>
      </c>
      <c r="D14" t="s">
        <v>15</v>
      </c>
      <c r="E14">
        <v>1</v>
      </c>
      <c r="F14" t="s">
        <v>16</v>
      </c>
      <c r="G14" t="s">
        <v>17</v>
      </c>
      <c r="H14">
        <v>13</v>
      </c>
      <c r="I14">
        <v>761</v>
      </c>
      <c r="J14">
        <v>781</v>
      </c>
      <c r="K14">
        <v>20</v>
      </c>
      <c r="L14" t="s">
        <v>19</v>
      </c>
      <c r="P14">
        <v>5</v>
      </c>
    </row>
    <row r="15" spans="1:16" x14ac:dyDescent="0.35">
      <c r="A15" t="s">
        <v>12</v>
      </c>
      <c r="B15" t="s">
        <v>13</v>
      </c>
      <c r="C15" t="s">
        <v>14</v>
      </c>
      <c r="D15" t="s">
        <v>15</v>
      </c>
      <c r="E15">
        <v>1</v>
      </c>
      <c r="F15" t="s">
        <v>16</v>
      </c>
      <c r="G15" t="s">
        <v>17</v>
      </c>
      <c r="H15">
        <v>14</v>
      </c>
      <c r="I15">
        <v>781</v>
      </c>
      <c r="J15">
        <v>801</v>
      </c>
      <c r="K15">
        <v>20</v>
      </c>
      <c r="L15" t="s">
        <v>19</v>
      </c>
      <c r="P15">
        <v>5</v>
      </c>
    </row>
    <row r="16" spans="1:16" x14ac:dyDescent="0.35">
      <c r="A16" t="s">
        <v>12</v>
      </c>
      <c r="B16" t="s">
        <v>13</v>
      </c>
      <c r="C16" t="s">
        <v>14</v>
      </c>
      <c r="D16" t="s">
        <v>15</v>
      </c>
      <c r="E16">
        <v>1</v>
      </c>
      <c r="F16" t="s">
        <v>16</v>
      </c>
      <c r="G16" t="s">
        <v>17</v>
      </c>
      <c r="H16">
        <v>15</v>
      </c>
      <c r="I16">
        <v>801</v>
      </c>
      <c r="J16">
        <v>821</v>
      </c>
      <c r="K16">
        <v>20</v>
      </c>
      <c r="L16" t="s">
        <v>19</v>
      </c>
      <c r="P16">
        <v>5</v>
      </c>
    </row>
    <row r="17" spans="1:16" x14ac:dyDescent="0.35">
      <c r="A17" t="s">
        <v>12</v>
      </c>
      <c r="B17" t="s">
        <v>13</v>
      </c>
      <c r="C17" t="s">
        <v>14</v>
      </c>
      <c r="D17" t="s">
        <v>15</v>
      </c>
      <c r="E17">
        <v>1</v>
      </c>
      <c r="F17" t="s">
        <v>16</v>
      </c>
      <c r="G17" t="s">
        <v>17</v>
      </c>
      <c r="H17">
        <v>16</v>
      </c>
      <c r="I17">
        <v>821</v>
      </c>
      <c r="J17">
        <v>842</v>
      </c>
      <c r="K17">
        <v>20</v>
      </c>
      <c r="L17" t="s">
        <v>19</v>
      </c>
      <c r="P17">
        <v>5</v>
      </c>
    </row>
    <row r="18" spans="1:16" x14ac:dyDescent="0.35">
      <c r="A18" t="s">
        <v>12</v>
      </c>
      <c r="B18" t="s">
        <v>13</v>
      </c>
      <c r="C18" t="s">
        <v>14</v>
      </c>
      <c r="D18" t="s">
        <v>15</v>
      </c>
      <c r="E18">
        <v>1</v>
      </c>
      <c r="F18" t="s">
        <v>16</v>
      </c>
      <c r="G18" t="s">
        <v>17</v>
      </c>
      <c r="H18">
        <v>17</v>
      </c>
      <c r="I18">
        <v>842</v>
      </c>
      <c r="J18">
        <v>862</v>
      </c>
      <c r="K18">
        <v>20</v>
      </c>
      <c r="L18" t="s">
        <v>19</v>
      </c>
      <c r="P18">
        <v>5</v>
      </c>
    </row>
    <row r="19" spans="1:16" x14ac:dyDescent="0.35">
      <c r="A19" t="s">
        <v>12</v>
      </c>
      <c r="B19" t="s">
        <v>13</v>
      </c>
      <c r="C19" t="s">
        <v>14</v>
      </c>
      <c r="D19" t="s">
        <v>15</v>
      </c>
      <c r="E19">
        <v>1</v>
      </c>
      <c r="F19" t="s">
        <v>16</v>
      </c>
      <c r="G19" t="s">
        <v>17</v>
      </c>
      <c r="H19">
        <v>18</v>
      </c>
      <c r="I19">
        <v>862</v>
      </c>
      <c r="J19">
        <v>882</v>
      </c>
      <c r="K19">
        <v>20</v>
      </c>
      <c r="L19" t="s">
        <v>19</v>
      </c>
      <c r="P19">
        <v>5</v>
      </c>
    </row>
    <row r="20" spans="1:16" x14ac:dyDescent="0.35">
      <c r="A20" t="s">
        <v>12</v>
      </c>
      <c r="B20" t="s">
        <v>13</v>
      </c>
      <c r="C20" t="s">
        <v>14</v>
      </c>
      <c r="D20" t="s">
        <v>15</v>
      </c>
      <c r="E20">
        <v>1</v>
      </c>
      <c r="F20" t="s">
        <v>16</v>
      </c>
      <c r="G20" t="s">
        <v>17</v>
      </c>
      <c r="H20">
        <v>19</v>
      </c>
      <c r="I20">
        <v>882</v>
      </c>
      <c r="J20">
        <v>902</v>
      </c>
      <c r="K20">
        <v>20</v>
      </c>
      <c r="L20" t="s">
        <v>19</v>
      </c>
      <c r="P20">
        <v>5</v>
      </c>
    </row>
    <row r="21" spans="1:16" x14ac:dyDescent="0.35">
      <c r="A21" t="s">
        <v>12</v>
      </c>
      <c r="B21" t="s">
        <v>13</v>
      </c>
      <c r="C21" t="s">
        <v>14</v>
      </c>
      <c r="D21" t="s">
        <v>15</v>
      </c>
      <c r="E21">
        <v>1</v>
      </c>
      <c r="F21" t="s">
        <v>16</v>
      </c>
      <c r="G21" t="s">
        <v>17</v>
      </c>
      <c r="H21">
        <v>20</v>
      </c>
      <c r="I21">
        <v>1102</v>
      </c>
      <c r="J21">
        <v>1122</v>
      </c>
      <c r="K21">
        <v>20</v>
      </c>
      <c r="L21" t="s">
        <v>18</v>
      </c>
      <c r="P21">
        <v>6</v>
      </c>
    </row>
    <row r="22" spans="1:16" x14ac:dyDescent="0.35">
      <c r="A22" t="s">
        <v>12</v>
      </c>
      <c r="B22" t="s">
        <v>13</v>
      </c>
      <c r="C22" t="s">
        <v>14</v>
      </c>
      <c r="D22" t="s">
        <v>15</v>
      </c>
      <c r="E22">
        <v>1</v>
      </c>
      <c r="F22" t="s">
        <v>16</v>
      </c>
      <c r="G22" t="s">
        <v>17</v>
      </c>
      <c r="H22">
        <v>21</v>
      </c>
      <c r="I22">
        <v>1122</v>
      </c>
      <c r="J22">
        <v>1142</v>
      </c>
      <c r="K22">
        <v>20</v>
      </c>
      <c r="L22" t="s">
        <v>18</v>
      </c>
      <c r="P22">
        <v>6</v>
      </c>
    </row>
    <row r="23" spans="1:16" x14ac:dyDescent="0.35">
      <c r="A23" t="s">
        <v>12</v>
      </c>
      <c r="B23" t="s">
        <v>13</v>
      </c>
      <c r="C23" t="s">
        <v>14</v>
      </c>
      <c r="D23" t="s">
        <v>15</v>
      </c>
      <c r="E23">
        <v>1</v>
      </c>
      <c r="F23" t="s">
        <v>16</v>
      </c>
      <c r="G23" t="s">
        <v>17</v>
      </c>
      <c r="H23">
        <v>22</v>
      </c>
      <c r="I23">
        <v>1142</v>
      </c>
      <c r="J23">
        <v>1162</v>
      </c>
      <c r="K23">
        <v>20</v>
      </c>
      <c r="L23" t="s">
        <v>18</v>
      </c>
      <c r="P23">
        <v>6</v>
      </c>
    </row>
    <row r="24" spans="1:16" x14ac:dyDescent="0.35">
      <c r="A24" t="s">
        <v>12</v>
      </c>
      <c r="B24" t="s">
        <v>13</v>
      </c>
      <c r="C24" t="s">
        <v>14</v>
      </c>
      <c r="D24" t="s">
        <v>15</v>
      </c>
      <c r="E24">
        <v>2</v>
      </c>
      <c r="F24" t="s">
        <v>16</v>
      </c>
      <c r="G24" t="s">
        <v>17</v>
      </c>
      <c r="H24">
        <v>1</v>
      </c>
      <c r="I24">
        <v>170</v>
      </c>
      <c r="J24">
        <v>190</v>
      </c>
      <c r="K24">
        <v>20</v>
      </c>
      <c r="L24" t="s">
        <v>20</v>
      </c>
      <c r="P24">
        <v>7</v>
      </c>
    </row>
    <row r="25" spans="1:16" x14ac:dyDescent="0.35">
      <c r="A25" t="s">
        <v>12</v>
      </c>
      <c r="B25" t="s">
        <v>13</v>
      </c>
      <c r="C25" t="s">
        <v>14</v>
      </c>
      <c r="D25" t="s">
        <v>15</v>
      </c>
      <c r="E25">
        <v>2</v>
      </c>
      <c r="F25" t="s">
        <v>16</v>
      </c>
      <c r="G25" t="s">
        <v>17</v>
      </c>
      <c r="H25">
        <v>2</v>
      </c>
      <c r="I25">
        <v>210</v>
      </c>
      <c r="J25">
        <v>230</v>
      </c>
      <c r="K25">
        <v>20</v>
      </c>
      <c r="L25" t="s">
        <v>20</v>
      </c>
      <c r="P25">
        <v>8</v>
      </c>
    </row>
    <row r="26" spans="1:16" x14ac:dyDescent="0.35">
      <c r="A26" t="s">
        <v>12</v>
      </c>
      <c r="B26" t="s">
        <v>13</v>
      </c>
      <c r="C26" t="s">
        <v>14</v>
      </c>
      <c r="D26" t="s">
        <v>15</v>
      </c>
      <c r="E26">
        <v>2</v>
      </c>
      <c r="F26" t="s">
        <v>16</v>
      </c>
      <c r="G26" t="s">
        <v>17</v>
      </c>
      <c r="H26">
        <v>3</v>
      </c>
      <c r="I26">
        <v>230</v>
      </c>
      <c r="J26">
        <v>250</v>
      </c>
      <c r="K26">
        <v>20</v>
      </c>
      <c r="L26" t="s">
        <v>20</v>
      </c>
      <c r="P26">
        <v>8</v>
      </c>
    </row>
    <row r="27" spans="1:16" x14ac:dyDescent="0.35">
      <c r="A27" t="s">
        <v>12</v>
      </c>
      <c r="B27" t="s">
        <v>13</v>
      </c>
      <c r="C27" t="s">
        <v>14</v>
      </c>
      <c r="D27" t="s">
        <v>15</v>
      </c>
      <c r="E27">
        <v>2</v>
      </c>
      <c r="F27" t="s">
        <v>16</v>
      </c>
      <c r="G27" t="s">
        <v>17</v>
      </c>
      <c r="H27">
        <v>4</v>
      </c>
      <c r="I27">
        <v>250</v>
      </c>
      <c r="J27">
        <v>270</v>
      </c>
      <c r="K27">
        <v>20</v>
      </c>
      <c r="L27" t="s">
        <v>20</v>
      </c>
      <c r="P27">
        <v>8</v>
      </c>
    </row>
    <row r="28" spans="1:16" x14ac:dyDescent="0.35">
      <c r="A28" t="s">
        <v>12</v>
      </c>
      <c r="B28" t="s">
        <v>13</v>
      </c>
      <c r="C28" t="s">
        <v>14</v>
      </c>
      <c r="D28" t="s">
        <v>15</v>
      </c>
      <c r="E28">
        <v>2</v>
      </c>
      <c r="F28" t="s">
        <v>16</v>
      </c>
      <c r="G28" t="s">
        <v>17</v>
      </c>
      <c r="H28">
        <v>5</v>
      </c>
      <c r="I28">
        <v>270</v>
      </c>
      <c r="J28">
        <v>291</v>
      </c>
      <c r="K28">
        <v>20</v>
      </c>
      <c r="L28" t="s">
        <v>20</v>
      </c>
      <c r="P28">
        <v>8</v>
      </c>
    </row>
    <row r="29" spans="1:16" x14ac:dyDescent="0.35">
      <c r="A29" t="s">
        <v>12</v>
      </c>
      <c r="B29" t="s">
        <v>13</v>
      </c>
      <c r="C29" t="s">
        <v>14</v>
      </c>
      <c r="D29" t="s">
        <v>15</v>
      </c>
      <c r="E29">
        <v>2</v>
      </c>
      <c r="F29" t="s">
        <v>16</v>
      </c>
      <c r="G29" t="s">
        <v>17</v>
      </c>
      <c r="H29">
        <v>6</v>
      </c>
      <c r="I29">
        <v>291</v>
      </c>
      <c r="J29">
        <v>311</v>
      </c>
      <c r="K29">
        <v>20</v>
      </c>
      <c r="L29" t="s">
        <v>20</v>
      </c>
      <c r="P29">
        <v>8</v>
      </c>
    </row>
    <row r="30" spans="1:16" x14ac:dyDescent="0.35">
      <c r="A30" t="s">
        <v>12</v>
      </c>
      <c r="B30" t="s">
        <v>13</v>
      </c>
      <c r="C30" t="s">
        <v>14</v>
      </c>
      <c r="D30" t="s">
        <v>15</v>
      </c>
      <c r="E30">
        <v>2</v>
      </c>
      <c r="F30" t="s">
        <v>16</v>
      </c>
      <c r="G30" t="s">
        <v>17</v>
      </c>
      <c r="H30">
        <v>7</v>
      </c>
      <c r="I30">
        <v>311</v>
      </c>
      <c r="J30">
        <v>331</v>
      </c>
      <c r="K30">
        <v>20</v>
      </c>
      <c r="L30" t="s">
        <v>20</v>
      </c>
      <c r="P30">
        <v>8</v>
      </c>
    </row>
    <row r="31" spans="1:16" x14ac:dyDescent="0.35">
      <c r="A31" t="s">
        <v>12</v>
      </c>
      <c r="B31" t="s">
        <v>13</v>
      </c>
      <c r="C31" t="s">
        <v>14</v>
      </c>
      <c r="D31" t="s">
        <v>15</v>
      </c>
      <c r="E31">
        <v>2</v>
      </c>
      <c r="F31" t="s">
        <v>16</v>
      </c>
      <c r="G31" t="s">
        <v>17</v>
      </c>
      <c r="H31">
        <v>8</v>
      </c>
      <c r="I31">
        <v>331</v>
      </c>
      <c r="J31">
        <v>351</v>
      </c>
      <c r="K31">
        <v>20</v>
      </c>
      <c r="L31" t="s">
        <v>20</v>
      </c>
      <c r="P31">
        <v>8</v>
      </c>
    </row>
    <row r="32" spans="1:16" x14ac:dyDescent="0.35">
      <c r="A32" t="s">
        <v>12</v>
      </c>
      <c r="B32" t="s">
        <v>13</v>
      </c>
      <c r="C32" t="s">
        <v>14</v>
      </c>
      <c r="D32" t="s">
        <v>15</v>
      </c>
      <c r="E32">
        <v>2</v>
      </c>
      <c r="F32" t="s">
        <v>16</v>
      </c>
      <c r="G32" t="s">
        <v>17</v>
      </c>
      <c r="H32">
        <v>9</v>
      </c>
      <c r="I32">
        <v>351</v>
      </c>
      <c r="J32">
        <v>371</v>
      </c>
      <c r="K32">
        <v>20</v>
      </c>
      <c r="L32" t="s">
        <v>20</v>
      </c>
      <c r="P32">
        <v>8</v>
      </c>
    </row>
    <row r="33" spans="1:16" x14ac:dyDescent="0.35">
      <c r="A33" t="s">
        <v>12</v>
      </c>
      <c r="B33" t="s">
        <v>13</v>
      </c>
      <c r="C33" t="s">
        <v>14</v>
      </c>
      <c r="D33" t="s">
        <v>15</v>
      </c>
      <c r="E33">
        <v>2</v>
      </c>
      <c r="F33" t="s">
        <v>16</v>
      </c>
      <c r="G33" t="s">
        <v>17</v>
      </c>
      <c r="H33">
        <v>10</v>
      </c>
      <c r="I33">
        <v>571</v>
      </c>
      <c r="J33">
        <v>591</v>
      </c>
      <c r="K33">
        <v>20</v>
      </c>
      <c r="L33" t="s">
        <v>21</v>
      </c>
      <c r="P33">
        <v>9</v>
      </c>
    </row>
    <row r="34" spans="1:16" x14ac:dyDescent="0.35">
      <c r="A34" t="s">
        <v>12</v>
      </c>
      <c r="B34" t="s">
        <v>13</v>
      </c>
      <c r="C34" t="s">
        <v>14</v>
      </c>
      <c r="D34" t="s">
        <v>15</v>
      </c>
      <c r="E34">
        <v>2</v>
      </c>
      <c r="F34" t="s">
        <v>16</v>
      </c>
      <c r="G34" t="s">
        <v>17</v>
      </c>
      <c r="H34">
        <v>11</v>
      </c>
      <c r="I34">
        <v>591</v>
      </c>
      <c r="J34">
        <v>611</v>
      </c>
      <c r="K34">
        <v>20</v>
      </c>
      <c r="L34" t="s">
        <v>21</v>
      </c>
      <c r="P34">
        <v>9</v>
      </c>
    </row>
    <row r="35" spans="1:16" x14ac:dyDescent="0.35">
      <c r="A35" t="s">
        <v>12</v>
      </c>
      <c r="B35" t="s">
        <v>13</v>
      </c>
      <c r="C35" t="s">
        <v>14</v>
      </c>
      <c r="D35" t="s">
        <v>15</v>
      </c>
      <c r="E35">
        <v>2</v>
      </c>
      <c r="F35" t="s">
        <v>16</v>
      </c>
      <c r="G35" t="s">
        <v>17</v>
      </c>
      <c r="H35">
        <v>12</v>
      </c>
      <c r="I35">
        <v>611</v>
      </c>
      <c r="J35">
        <v>631</v>
      </c>
      <c r="K35">
        <v>20</v>
      </c>
      <c r="L35" t="s">
        <v>21</v>
      </c>
      <c r="P35">
        <v>9</v>
      </c>
    </row>
    <row r="36" spans="1:16" x14ac:dyDescent="0.35">
      <c r="A36" t="s">
        <v>12</v>
      </c>
      <c r="B36" t="s">
        <v>13</v>
      </c>
      <c r="C36" t="s">
        <v>14</v>
      </c>
      <c r="D36" t="s">
        <v>15</v>
      </c>
      <c r="E36">
        <v>2</v>
      </c>
      <c r="F36" t="s">
        <v>16</v>
      </c>
      <c r="G36" t="s">
        <v>17</v>
      </c>
      <c r="H36">
        <v>13</v>
      </c>
      <c r="I36">
        <v>631</v>
      </c>
      <c r="J36">
        <v>651</v>
      </c>
      <c r="K36">
        <v>20</v>
      </c>
      <c r="L36" t="s">
        <v>21</v>
      </c>
      <c r="P36">
        <v>9</v>
      </c>
    </row>
    <row r="37" spans="1:16" x14ac:dyDescent="0.35">
      <c r="A37" t="s">
        <v>12</v>
      </c>
      <c r="B37" t="s">
        <v>13</v>
      </c>
      <c r="C37" t="s">
        <v>14</v>
      </c>
      <c r="D37" t="s">
        <v>15</v>
      </c>
      <c r="E37">
        <v>2</v>
      </c>
      <c r="F37" t="s">
        <v>16</v>
      </c>
      <c r="G37" t="s">
        <v>17</v>
      </c>
      <c r="H37">
        <v>14</v>
      </c>
      <c r="I37">
        <v>651</v>
      </c>
      <c r="J37">
        <v>671</v>
      </c>
      <c r="K37">
        <v>20</v>
      </c>
      <c r="L37" t="s">
        <v>21</v>
      </c>
      <c r="P37">
        <v>9</v>
      </c>
    </row>
    <row r="38" spans="1:16" x14ac:dyDescent="0.35">
      <c r="A38" t="s">
        <v>12</v>
      </c>
      <c r="B38" t="s">
        <v>13</v>
      </c>
      <c r="C38" t="s">
        <v>14</v>
      </c>
      <c r="D38" t="s">
        <v>15</v>
      </c>
      <c r="E38">
        <v>2</v>
      </c>
      <c r="F38" t="s">
        <v>16</v>
      </c>
      <c r="G38" t="s">
        <v>17</v>
      </c>
      <c r="H38">
        <v>15</v>
      </c>
      <c r="I38">
        <v>671</v>
      </c>
      <c r="J38">
        <v>691</v>
      </c>
      <c r="K38">
        <v>20</v>
      </c>
      <c r="L38" t="s">
        <v>21</v>
      </c>
      <c r="P38">
        <v>9</v>
      </c>
    </row>
    <row r="39" spans="1:16" x14ac:dyDescent="0.35">
      <c r="A39" t="s">
        <v>12</v>
      </c>
      <c r="B39" t="s">
        <v>13</v>
      </c>
      <c r="C39" t="s">
        <v>14</v>
      </c>
      <c r="D39" t="s">
        <v>15</v>
      </c>
      <c r="E39">
        <v>3</v>
      </c>
      <c r="F39" t="s">
        <v>16</v>
      </c>
      <c r="G39" t="s">
        <v>17</v>
      </c>
      <c r="H39">
        <v>1</v>
      </c>
      <c r="I39">
        <v>0</v>
      </c>
      <c r="J39">
        <v>10</v>
      </c>
      <c r="K39">
        <v>10</v>
      </c>
      <c r="L39" t="s">
        <v>18</v>
      </c>
    </row>
    <row r="40" spans="1:16" x14ac:dyDescent="0.35">
      <c r="A40" t="s">
        <v>12</v>
      </c>
      <c r="B40" t="s">
        <v>13</v>
      </c>
      <c r="C40" t="s">
        <v>14</v>
      </c>
      <c r="D40" t="s">
        <v>15</v>
      </c>
      <c r="E40">
        <v>3</v>
      </c>
      <c r="F40" t="s">
        <v>16</v>
      </c>
      <c r="G40" t="s">
        <v>17</v>
      </c>
      <c r="H40">
        <v>2</v>
      </c>
      <c r="I40">
        <v>10</v>
      </c>
      <c r="J40">
        <v>30</v>
      </c>
      <c r="K40">
        <v>20</v>
      </c>
      <c r="L40" t="s">
        <v>18</v>
      </c>
    </row>
    <row r="41" spans="1:16" x14ac:dyDescent="0.35">
      <c r="A41" t="s">
        <v>12</v>
      </c>
      <c r="B41" t="s">
        <v>13</v>
      </c>
      <c r="C41" t="s">
        <v>14</v>
      </c>
      <c r="D41" t="s">
        <v>15</v>
      </c>
      <c r="E41">
        <v>3</v>
      </c>
      <c r="F41" t="s">
        <v>16</v>
      </c>
      <c r="G41" t="s">
        <v>17</v>
      </c>
      <c r="H41">
        <v>3</v>
      </c>
      <c r="I41">
        <v>30</v>
      </c>
      <c r="J41">
        <v>50</v>
      </c>
      <c r="K41">
        <v>20</v>
      </c>
      <c r="L41" t="s">
        <v>18</v>
      </c>
    </row>
    <row r="42" spans="1:16" x14ac:dyDescent="0.35">
      <c r="A42" t="s">
        <v>12</v>
      </c>
      <c r="B42" t="s">
        <v>13</v>
      </c>
      <c r="C42" t="s">
        <v>14</v>
      </c>
      <c r="D42" t="s">
        <v>15</v>
      </c>
      <c r="E42">
        <v>3</v>
      </c>
      <c r="F42" t="s">
        <v>16</v>
      </c>
      <c r="G42" t="s">
        <v>17</v>
      </c>
      <c r="H42">
        <v>4</v>
      </c>
      <c r="I42">
        <v>50</v>
      </c>
      <c r="J42">
        <v>70</v>
      </c>
      <c r="K42">
        <v>20</v>
      </c>
      <c r="L42" t="s">
        <v>18</v>
      </c>
    </row>
    <row r="43" spans="1:16" x14ac:dyDescent="0.35">
      <c r="A43" t="s">
        <v>12</v>
      </c>
      <c r="B43" t="s">
        <v>13</v>
      </c>
      <c r="C43" t="s">
        <v>14</v>
      </c>
      <c r="D43" t="s">
        <v>15</v>
      </c>
      <c r="E43">
        <v>3</v>
      </c>
      <c r="F43" t="s">
        <v>16</v>
      </c>
      <c r="G43" t="s">
        <v>17</v>
      </c>
      <c r="H43">
        <v>5</v>
      </c>
      <c r="I43">
        <v>130</v>
      </c>
      <c r="J43">
        <v>150</v>
      </c>
      <c r="K43">
        <v>20</v>
      </c>
      <c r="L43" t="s">
        <v>19</v>
      </c>
    </row>
    <row r="44" spans="1:16" x14ac:dyDescent="0.35">
      <c r="A44" t="s">
        <v>12</v>
      </c>
      <c r="B44" t="s">
        <v>13</v>
      </c>
      <c r="C44" t="s">
        <v>14</v>
      </c>
      <c r="D44" t="s">
        <v>15</v>
      </c>
      <c r="E44">
        <v>3</v>
      </c>
      <c r="F44" t="s">
        <v>16</v>
      </c>
      <c r="G44" t="s">
        <v>17</v>
      </c>
      <c r="H44">
        <v>6</v>
      </c>
      <c r="I44">
        <v>210</v>
      </c>
      <c r="J44">
        <v>230</v>
      </c>
      <c r="K44">
        <v>20</v>
      </c>
      <c r="L44" t="s">
        <v>22</v>
      </c>
    </row>
    <row r="45" spans="1:16" x14ac:dyDescent="0.35">
      <c r="A45" t="s">
        <v>12</v>
      </c>
      <c r="B45" t="s">
        <v>13</v>
      </c>
      <c r="C45" t="s">
        <v>14</v>
      </c>
      <c r="D45" t="s">
        <v>15</v>
      </c>
      <c r="E45">
        <v>3</v>
      </c>
      <c r="F45" t="s">
        <v>16</v>
      </c>
      <c r="G45" t="s">
        <v>17</v>
      </c>
      <c r="H45">
        <v>7</v>
      </c>
      <c r="I45">
        <v>230</v>
      </c>
      <c r="J45">
        <v>250</v>
      </c>
      <c r="K45">
        <v>20</v>
      </c>
      <c r="L45" t="s">
        <v>22</v>
      </c>
    </row>
    <row r="46" spans="1:16" x14ac:dyDescent="0.35">
      <c r="A46" t="s">
        <v>12</v>
      </c>
      <c r="B46" t="s">
        <v>13</v>
      </c>
      <c r="C46" t="s">
        <v>14</v>
      </c>
      <c r="D46" t="s">
        <v>15</v>
      </c>
      <c r="E46">
        <v>3</v>
      </c>
      <c r="F46" t="s">
        <v>16</v>
      </c>
      <c r="G46" t="s">
        <v>17</v>
      </c>
      <c r="H46">
        <v>8</v>
      </c>
      <c r="I46">
        <v>250</v>
      </c>
      <c r="J46">
        <v>270</v>
      </c>
      <c r="K46">
        <v>20</v>
      </c>
      <c r="L46" t="s">
        <v>22</v>
      </c>
    </row>
    <row r="47" spans="1:16" x14ac:dyDescent="0.35">
      <c r="A47" t="s">
        <v>12</v>
      </c>
      <c r="B47" t="s">
        <v>13</v>
      </c>
      <c r="C47" t="s">
        <v>14</v>
      </c>
      <c r="D47" t="s">
        <v>15</v>
      </c>
      <c r="E47">
        <v>3</v>
      </c>
      <c r="F47" t="s">
        <v>16</v>
      </c>
      <c r="G47" t="s">
        <v>17</v>
      </c>
      <c r="H47">
        <v>9</v>
      </c>
      <c r="I47">
        <v>270</v>
      </c>
      <c r="J47">
        <v>291</v>
      </c>
      <c r="K47">
        <v>20</v>
      </c>
      <c r="L47" t="s">
        <v>22</v>
      </c>
    </row>
    <row r="48" spans="1:16" x14ac:dyDescent="0.35">
      <c r="A48" t="s">
        <v>12</v>
      </c>
      <c r="B48" t="s">
        <v>13</v>
      </c>
      <c r="C48" t="s">
        <v>14</v>
      </c>
      <c r="D48" t="s">
        <v>15</v>
      </c>
      <c r="E48">
        <v>3</v>
      </c>
      <c r="F48" t="s">
        <v>16</v>
      </c>
      <c r="G48" t="s">
        <v>17</v>
      </c>
      <c r="H48">
        <v>10</v>
      </c>
      <c r="I48">
        <v>291</v>
      </c>
      <c r="J48">
        <v>311</v>
      </c>
      <c r="K48">
        <v>20</v>
      </c>
      <c r="L48" t="s">
        <v>22</v>
      </c>
    </row>
    <row r="49" spans="1:12" x14ac:dyDescent="0.35">
      <c r="A49" t="s">
        <v>12</v>
      </c>
      <c r="B49" t="s">
        <v>13</v>
      </c>
      <c r="C49" t="s">
        <v>14</v>
      </c>
      <c r="D49" t="s">
        <v>15</v>
      </c>
      <c r="E49">
        <v>3</v>
      </c>
      <c r="F49" t="s">
        <v>16</v>
      </c>
      <c r="G49" t="s">
        <v>17</v>
      </c>
      <c r="H49">
        <v>11</v>
      </c>
      <c r="I49">
        <v>311</v>
      </c>
      <c r="J49">
        <v>331</v>
      </c>
      <c r="K49">
        <v>20</v>
      </c>
      <c r="L49" t="s">
        <v>22</v>
      </c>
    </row>
    <row r="50" spans="1:12" x14ac:dyDescent="0.35">
      <c r="A50" t="s">
        <v>12</v>
      </c>
      <c r="B50" t="s">
        <v>13</v>
      </c>
      <c r="C50" t="s">
        <v>14</v>
      </c>
      <c r="D50" t="s">
        <v>15</v>
      </c>
      <c r="E50">
        <v>3</v>
      </c>
      <c r="F50" t="s">
        <v>16</v>
      </c>
      <c r="G50" t="s">
        <v>17</v>
      </c>
      <c r="H50">
        <v>12</v>
      </c>
      <c r="I50">
        <v>331</v>
      </c>
      <c r="J50">
        <v>351</v>
      </c>
      <c r="K50">
        <v>20</v>
      </c>
      <c r="L50" t="s">
        <v>22</v>
      </c>
    </row>
    <row r="51" spans="1:12" x14ac:dyDescent="0.35">
      <c r="A51" t="s">
        <v>12</v>
      </c>
      <c r="B51" t="s">
        <v>13</v>
      </c>
      <c r="C51" t="s">
        <v>14</v>
      </c>
      <c r="D51" t="s">
        <v>15</v>
      </c>
      <c r="E51">
        <v>3</v>
      </c>
      <c r="F51" t="s">
        <v>16</v>
      </c>
      <c r="G51" t="s">
        <v>17</v>
      </c>
      <c r="H51">
        <v>13</v>
      </c>
      <c r="I51">
        <v>351</v>
      </c>
      <c r="J51">
        <v>371</v>
      </c>
      <c r="K51">
        <v>20</v>
      </c>
      <c r="L51" t="s">
        <v>22</v>
      </c>
    </row>
    <row r="52" spans="1:12" x14ac:dyDescent="0.35">
      <c r="A52" t="s">
        <v>12</v>
      </c>
      <c r="B52" t="s">
        <v>13</v>
      </c>
      <c r="C52" t="s">
        <v>14</v>
      </c>
      <c r="D52" t="s">
        <v>15</v>
      </c>
      <c r="E52">
        <v>3</v>
      </c>
      <c r="F52" t="s">
        <v>16</v>
      </c>
      <c r="G52" t="s">
        <v>17</v>
      </c>
      <c r="H52">
        <v>14</v>
      </c>
      <c r="I52">
        <v>371</v>
      </c>
      <c r="J52">
        <v>391</v>
      </c>
      <c r="K52">
        <v>20</v>
      </c>
      <c r="L52" t="s">
        <v>22</v>
      </c>
    </row>
    <row r="53" spans="1:12" x14ac:dyDescent="0.35">
      <c r="A53" t="s">
        <v>12</v>
      </c>
      <c r="B53" t="s">
        <v>13</v>
      </c>
      <c r="C53" t="s">
        <v>14</v>
      </c>
      <c r="D53" t="s">
        <v>15</v>
      </c>
      <c r="E53">
        <v>3</v>
      </c>
      <c r="F53" t="s">
        <v>16</v>
      </c>
      <c r="G53" t="s">
        <v>17</v>
      </c>
      <c r="H53">
        <v>15</v>
      </c>
      <c r="I53">
        <v>411</v>
      </c>
      <c r="J53">
        <v>431</v>
      </c>
      <c r="K53">
        <v>20</v>
      </c>
      <c r="L53" t="s">
        <v>22</v>
      </c>
    </row>
    <row r="54" spans="1:12" x14ac:dyDescent="0.35">
      <c r="A54" t="s">
        <v>12</v>
      </c>
      <c r="B54" t="s">
        <v>13</v>
      </c>
      <c r="C54" t="s">
        <v>14</v>
      </c>
      <c r="D54" t="s">
        <v>15</v>
      </c>
      <c r="E54">
        <v>3</v>
      </c>
      <c r="F54" t="s">
        <v>16</v>
      </c>
      <c r="G54" t="s">
        <v>17</v>
      </c>
      <c r="H54">
        <v>16</v>
      </c>
      <c r="I54">
        <v>431</v>
      </c>
      <c r="J54">
        <v>451</v>
      </c>
      <c r="K54">
        <v>20</v>
      </c>
      <c r="L54" t="s">
        <v>22</v>
      </c>
    </row>
    <row r="55" spans="1:12" x14ac:dyDescent="0.35">
      <c r="A55" t="s">
        <v>12</v>
      </c>
      <c r="B55" t="s">
        <v>13</v>
      </c>
      <c r="C55" t="s">
        <v>14</v>
      </c>
      <c r="D55" t="s">
        <v>15</v>
      </c>
      <c r="E55">
        <v>3</v>
      </c>
      <c r="F55" t="s">
        <v>16</v>
      </c>
      <c r="G55" t="s">
        <v>17</v>
      </c>
      <c r="H55">
        <v>17</v>
      </c>
      <c r="I55">
        <v>451</v>
      </c>
      <c r="J55">
        <v>471</v>
      </c>
      <c r="K55">
        <v>20</v>
      </c>
      <c r="L55" t="s">
        <v>22</v>
      </c>
    </row>
    <row r="56" spans="1:12" x14ac:dyDescent="0.35">
      <c r="A56" t="s">
        <v>12</v>
      </c>
      <c r="B56" t="s">
        <v>13</v>
      </c>
      <c r="C56" t="s">
        <v>14</v>
      </c>
      <c r="D56" t="s">
        <v>15</v>
      </c>
      <c r="E56">
        <v>3</v>
      </c>
      <c r="F56" t="s">
        <v>16</v>
      </c>
      <c r="G56" t="s">
        <v>17</v>
      </c>
      <c r="H56">
        <v>18</v>
      </c>
      <c r="I56">
        <v>471</v>
      </c>
      <c r="J56">
        <v>491</v>
      </c>
      <c r="K56">
        <v>20</v>
      </c>
      <c r="L56" t="s">
        <v>22</v>
      </c>
    </row>
    <row r="57" spans="1:12" x14ac:dyDescent="0.35">
      <c r="A57" t="s">
        <v>12</v>
      </c>
      <c r="B57" t="s">
        <v>13</v>
      </c>
      <c r="C57" t="s">
        <v>14</v>
      </c>
      <c r="D57" t="s">
        <v>15</v>
      </c>
      <c r="E57">
        <v>3</v>
      </c>
      <c r="F57" t="s">
        <v>16</v>
      </c>
      <c r="G57" t="s">
        <v>17</v>
      </c>
      <c r="H57">
        <v>19</v>
      </c>
      <c r="I57">
        <v>491</v>
      </c>
      <c r="J57">
        <v>511</v>
      </c>
      <c r="K57">
        <v>20</v>
      </c>
      <c r="L57" t="s">
        <v>22</v>
      </c>
    </row>
    <row r="58" spans="1:12" x14ac:dyDescent="0.35">
      <c r="A58" t="s">
        <v>12</v>
      </c>
      <c r="B58" t="s">
        <v>13</v>
      </c>
      <c r="C58" t="s">
        <v>14</v>
      </c>
      <c r="D58" t="s">
        <v>15</v>
      </c>
      <c r="E58">
        <v>3</v>
      </c>
      <c r="F58" t="s">
        <v>16</v>
      </c>
      <c r="G58" t="s">
        <v>17</v>
      </c>
      <c r="H58">
        <v>20</v>
      </c>
      <c r="I58">
        <v>511</v>
      </c>
      <c r="J58">
        <v>531</v>
      </c>
      <c r="K58">
        <v>20</v>
      </c>
      <c r="L58" t="s">
        <v>22</v>
      </c>
    </row>
    <row r="59" spans="1:12" x14ac:dyDescent="0.35">
      <c r="A59" t="s">
        <v>12</v>
      </c>
      <c r="B59" t="s">
        <v>13</v>
      </c>
      <c r="C59" t="s">
        <v>14</v>
      </c>
      <c r="D59" t="s">
        <v>15</v>
      </c>
      <c r="E59">
        <v>3</v>
      </c>
      <c r="F59" t="s">
        <v>16</v>
      </c>
      <c r="G59" t="s">
        <v>17</v>
      </c>
      <c r="H59">
        <v>21</v>
      </c>
      <c r="I59">
        <v>531</v>
      </c>
      <c r="J59">
        <v>551</v>
      </c>
      <c r="K59">
        <v>20</v>
      </c>
      <c r="L59" t="s">
        <v>22</v>
      </c>
    </row>
    <row r="60" spans="1:12" x14ac:dyDescent="0.35">
      <c r="A60" t="s">
        <v>12</v>
      </c>
      <c r="B60" t="s">
        <v>13</v>
      </c>
      <c r="C60" t="s">
        <v>14</v>
      </c>
      <c r="D60" t="s">
        <v>15</v>
      </c>
      <c r="E60">
        <v>3</v>
      </c>
      <c r="F60" t="s">
        <v>16</v>
      </c>
      <c r="G60" t="s">
        <v>17</v>
      </c>
      <c r="H60">
        <v>22</v>
      </c>
      <c r="I60">
        <v>551</v>
      </c>
      <c r="J60">
        <v>571</v>
      </c>
      <c r="K60">
        <v>20</v>
      </c>
      <c r="L60" t="s">
        <v>22</v>
      </c>
    </row>
    <row r="61" spans="1:12" x14ac:dyDescent="0.35">
      <c r="A61" t="s">
        <v>12</v>
      </c>
      <c r="B61" t="s">
        <v>13</v>
      </c>
      <c r="C61" t="s">
        <v>14</v>
      </c>
      <c r="D61" t="s">
        <v>15</v>
      </c>
      <c r="E61">
        <v>3</v>
      </c>
      <c r="F61" t="s">
        <v>16</v>
      </c>
      <c r="G61" t="s">
        <v>17</v>
      </c>
      <c r="H61">
        <v>23</v>
      </c>
      <c r="I61">
        <v>571</v>
      </c>
      <c r="J61">
        <v>591</v>
      </c>
      <c r="K61">
        <v>20</v>
      </c>
      <c r="L61" t="s">
        <v>22</v>
      </c>
    </row>
    <row r="62" spans="1:12" x14ac:dyDescent="0.35">
      <c r="A62" t="s">
        <v>12</v>
      </c>
      <c r="B62" t="s">
        <v>13</v>
      </c>
      <c r="C62" t="s">
        <v>14</v>
      </c>
      <c r="D62" t="s">
        <v>15</v>
      </c>
      <c r="E62">
        <v>3</v>
      </c>
      <c r="F62" t="s">
        <v>16</v>
      </c>
      <c r="G62" t="s">
        <v>17</v>
      </c>
      <c r="H62">
        <v>24</v>
      </c>
      <c r="I62">
        <v>591</v>
      </c>
      <c r="J62">
        <v>611</v>
      </c>
      <c r="K62">
        <v>20</v>
      </c>
      <c r="L62" t="s">
        <v>22</v>
      </c>
    </row>
    <row r="63" spans="1:12" x14ac:dyDescent="0.35">
      <c r="A63" t="s">
        <v>12</v>
      </c>
      <c r="B63" t="s">
        <v>13</v>
      </c>
      <c r="C63" t="s">
        <v>14</v>
      </c>
      <c r="D63" t="s">
        <v>15</v>
      </c>
      <c r="E63">
        <v>3</v>
      </c>
      <c r="F63" t="s">
        <v>16</v>
      </c>
      <c r="G63" t="s">
        <v>17</v>
      </c>
      <c r="H63">
        <v>25</v>
      </c>
      <c r="I63">
        <v>611</v>
      </c>
      <c r="J63">
        <v>631</v>
      </c>
      <c r="K63">
        <v>20</v>
      </c>
      <c r="L63" t="s">
        <v>22</v>
      </c>
    </row>
    <row r="64" spans="1:12" x14ac:dyDescent="0.35">
      <c r="A64" t="s">
        <v>12</v>
      </c>
      <c r="B64" t="s">
        <v>13</v>
      </c>
      <c r="C64" t="s">
        <v>14</v>
      </c>
      <c r="D64" t="s">
        <v>15</v>
      </c>
      <c r="E64">
        <v>3</v>
      </c>
      <c r="F64" t="s">
        <v>16</v>
      </c>
      <c r="G64" t="s">
        <v>17</v>
      </c>
      <c r="H64">
        <v>26</v>
      </c>
      <c r="I64">
        <v>631</v>
      </c>
      <c r="J64">
        <v>651</v>
      </c>
      <c r="K64">
        <v>20</v>
      </c>
      <c r="L64" t="s">
        <v>22</v>
      </c>
    </row>
    <row r="65" spans="1:12" x14ac:dyDescent="0.35">
      <c r="A65" t="s">
        <v>12</v>
      </c>
      <c r="B65" t="s">
        <v>13</v>
      </c>
      <c r="C65" t="s">
        <v>14</v>
      </c>
      <c r="D65" t="s">
        <v>15</v>
      </c>
      <c r="E65">
        <v>3</v>
      </c>
      <c r="F65" t="s">
        <v>16</v>
      </c>
      <c r="G65" t="s">
        <v>17</v>
      </c>
      <c r="H65">
        <v>27</v>
      </c>
      <c r="I65">
        <v>691</v>
      </c>
      <c r="J65">
        <v>701</v>
      </c>
      <c r="K65">
        <v>10</v>
      </c>
      <c r="L65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851FE1-A970-47F8-9505-B94D8B516C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TPL_rawFilter_metrics</vt:lpstr>
    </vt:vector>
  </TitlesOfParts>
  <Company>Tobii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 Novikov</dc:creator>
  <cp:lastModifiedBy>Yue Lyu</cp:lastModifiedBy>
  <dcterms:created xsi:type="dcterms:W3CDTF">2026-01-15T14:09:00Z</dcterms:created>
  <dcterms:modified xsi:type="dcterms:W3CDTF">2026-01-15T19:59:46Z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0572b5-ce9b-4dc2-908d-14ead7945635_Enabled">
    <vt:lpwstr>true</vt:lpwstr>
  </property>
  <property fmtid="{D5CDD505-2E9C-101B-9397-08002B2CF9AE}" pid="3" name="MSIP_Label_a20572b5-ce9b-4dc2-908d-14ead7945635_SetDate">
    <vt:lpwstr>2026-01-15T14:22:36Z</vt:lpwstr>
  </property>
  <property fmtid="{D5CDD505-2E9C-101B-9397-08002B2CF9AE}" pid="4" name="MSIP_Label_a20572b5-ce9b-4dc2-908d-14ead7945635_Method">
    <vt:lpwstr>Privileged</vt:lpwstr>
  </property>
  <property fmtid="{D5CDD505-2E9C-101B-9397-08002B2CF9AE}" pid="5" name="MSIP_Label_a20572b5-ce9b-4dc2-908d-14ead7945635_Name">
    <vt:lpwstr>Public</vt:lpwstr>
  </property>
  <property fmtid="{D5CDD505-2E9C-101B-9397-08002B2CF9AE}" pid="6" name="MSIP_Label_a20572b5-ce9b-4dc2-908d-14ead7945635_SiteId">
    <vt:lpwstr>6b7dddea-ad8f-4522-be45-cb8e69a29a5a</vt:lpwstr>
  </property>
  <property fmtid="{D5CDD505-2E9C-101B-9397-08002B2CF9AE}" pid="7" name="MSIP_Label_a20572b5-ce9b-4dc2-908d-14ead7945635_ActionId">
    <vt:lpwstr>5146f014-97a8-4d7a-a276-4df8273608d8</vt:lpwstr>
  </property>
  <property fmtid="{D5CDD505-2E9C-101B-9397-08002B2CF9AE}" pid="8" name="MSIP_Label_a20572b5-ce9b-4dc2-908d-14ead7945635_ContentBits">
    <vt:lpwstr>0</vt:lpwstr>
  </property>
  <property fmtid="{D5CDD505-2E9C-101B-9397-08002B2CF9AE}" pid="9" name="MSIP_Label_a20572b5-ce9b-4dc2-908d-14ead7945635_Tag">
    <vt:lpwstr>10, 0, 1, 1</vt:lpwstr>
  </property>
</Properties>
</file>